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LAB\Simscape\SSM\TestDatabase\cleanedup\"/>
    </mc:Choice>
  </mc:AlternateContent>
  <xr:revisionPtr revIDLastSave="0" documentId="13_ncr:1_{CB895EB7-FDD7-4FE8-ACE2-681E8A588D43}" xr6:coauthVersionLast="47" xr6:coauthVersionMax="47" xr10:uidLastSave="{00000000-0000-0000-0000-000000000000}"/>
  <bookViews>
    <workbookView xWindow="-28920" yWindow="-16545" windowWidth="29040" windowHeight="15720" tabRatio="816" activeTab="4" xr2:uid="{CCC96D31-0125-4D00-84F2-6850554951C3}"/>
  </bookViews>
  <sheets>
    <sheet name="Truck_Amandla_A1" sheetId="12" r:id="rId1"/>
    <sheet name="Truck_Amandla_A2" sheetId="13" r:id="rId2"/>
    <sheet name="Truck_Amandla_A3" sheetId="14" r:id="rId3"/>
    <sheet name="Trailer_Kumanzi_A1" sheetId="15" r:id="rId4"/>
    <sheet name="Trailer_Kumanzi_A2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14" l="1"/>
  <c r="H12" i="14" l="1"/>
  <c r="H12" i="13"/>
  <c r="H12" i="16"/>
  <c r="H11" i="13"/>
  <c r="G13" i="16" l="1"/>
  <c r="G13" i="15"/>
  <c r="G13" i="14" l="1"/>
  <c r="G13" i="13"/>
  <c r="H6" i="16" l="1"/>
  <c r="H12" i="15"/>
  <c r="H6" i="15"/>
  <c r="H6" i="14" l="1"/>
  <c r="H6" i="12"/>
  <c r="H6" i="13"/>
  <c r="H12" i="12" l="1"/>
  <c r="H11" i="12"/>
</calcChain>
</file>

<file path=xl/sharedStrings.xml><?xml version="1.0" encoding="utf-8"?>
<sst xmlns="http://schemas.openxmlformats.org/spreadsheetml/2006/main" count="190" uniqueCount="32">
  <si>
    <t>Units</t>
  </si>
  <si>
    <t>Comments</t>
  </si>
  <si>
    <t>x</t>
  </si>
  <si>
    <t>y</t>
  </si>
  <si>
    <t>z or scalar</t>
  </si>
  <si>
    <t>Type</t>
  </si>
  <si>
    <t>Susp</t>
  </si>
  <si>
    <t>Instance</t>
  </si>
  <si>
    <t>class</t>
  </si>
  <si>
    <t>Simple</t>
  </si>
  <si>
    <t>DOF15</t>
  </si>
  <si>
    <t>Heave</t>
  </si>
  <si>
    <t>sHeave</t>
  </si>
  <si>
    <t>m</t>
  </si>
  <si>
    <t>K</t>
  </si>
  <si>
    <t>N/m</t>
  </si>
  <si>
    <t>d</t>
  </si>
  <si>
    <t>N/(m/s)</t>
  </si>
  <si>
    <t>xInit</t>
  </si>
  <si>
    <t>Roll</t>
  </si>
  <si>
    <t>sRoll</t>
  </si>
  <si>
    <t>sWheelCentre</t>
  </si>
  <si>
    <t>Axle</t>
  </si>
  <si>
    <t>xAxle</t>
  </si>
  <si>
    <t>Axle Length</t>
  </si>
  <si>
    <t>mAxle</t>
  </si>
  <si>
    <t>kg</t>
  </si>
  <si>
    <t>Simple15DOF_Truck_Amandla_A1</t>
  </si>
  <si>
    <t>Simple15DOF_Truck_Amandla_A2</t>
  </si>
  <si>
    <t>Simple15DOF_Truck_Amandla_A3</t>
  </si>
  <si>
    <t>Simple15DOF_Trailer_Kumanzi_A1</t>
  </si>
  <si>
    <t>Simple15DOF_Trailer_Kumanzi_A2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</si>
</sst>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814A-2B23-47CA-A1E9-513AB4D28DE6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G13" sqref="G13"/>
    </sheetView>
  </sheetViews>
  <sheetFormatPr defaultRowHeight="14.5" x14ac:dyDescent="0.35"/>
  <cols>
    <col min="1" max="1" width="14.453125" style="18" customWidth="1"/>
    <col min="2" max="2" width="12.6328125" customWidth="1"/>
    <col min="3" max="3" width="15.6328125" customWidth="1"/>
    <col min="4" max="4" width="11.08984375" customWidth="1"/>
    <col min="5" max="5" width="16.6328125" customWidth="1"/>
    <col min="6" max="8" width="10" customWidth="1"/>
    <col min="9" max="15" width="6.63281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8"/>
      <c r="C3" s="8"/>
      <c r="F3" s="9"/>
      <c r="G3" s="9"/>
      <c r="H3" s="10" t="s">
        <v>27</v>
      </c>
    </row>
    <row r="4" spans="1:8" x14ac:dyDescent="0.3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3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3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3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3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3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3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3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3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35">
      <c r="A13" s="4"/>
      <c r="B13" s="8" t="s">
        <v>21</v>
      </c>
      <c r="C13" s="8"/>
      <c r="D13" t="s">
        <v>13</v>
      </c>
      <c r="F13" s="9">
        <v>0</v>
      </c>
      <c r="G13" s="9">
        <v>1.18895</v>
      </c>
      <c r="H13">
        <v>0.67310000000000003</v>
      </c>
    </row>
    <row r="14" spans="1:8" x14ac:dyDescent="0.3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3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8CBB-54A0-4303-8BF2-64CF66628F04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2" sqref="H12"/>
    </sheetView>
  </sheetViews>
  <sheetFormatPr defaultRowHeight="14.5" x14ac:dyDescent="0.35"/>
  <cols>
    <col min="1" max="1" width="14.453125" style="18" customWidth="1"/>
    <col min="2" max="2" width="12.6328125" customWidth="1"/>
    <col min="3" max="3" width="15.6328125" customWidth="1"/>
    <col min="4" max="4" width="11.08984375" customWidth="1"/>
    <col min="5" max="5" width="16.6328125" customWidth="1"/>
    <col min="6" max="8" width="10" customWidth="1"/>
    <col min="9" max="15" width="6.63281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8"/>
      <c r="C3" s="8"/>
      <c r="F3" s="9"/>
      <c r="G3" s="9"/>
      <c r="H3" s="10" t="s">
        <v>28</v>
      </c>
    </row>
    <row r="4" spans="1:8" x14ac:dyDescent="0.3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3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3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3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3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3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3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35">
      <c r="A11" s="4"/>
      <c r="B11" s="4"/>
      <c r="C11" s="8" t="s">
        <v>14</v>
      </c>
      <c r="D11" t="s">
        <v>15</v>
      </c>
      <c r="F11" s="9"/>
      <c r="G11" s="9"/>
      <c r="H11" s="9">
        <f>66000</f>
        <v>66000</v>
      </c>
    </row>
    <row r="12" spans="1:8" x14ac:dyDescent="0.3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35">
      <c r="A13" s="4"/>
      <c r="B13" s="8" t="s">
        <v>21</v>
      </c>
      <c r="C13" s="8"/>
      <c r="D13" t="s">
        <v>13</v>
      </c>
      <c r="F13" s="9">
        <v>0</v>
      </c>
      <c r="G13" s="9">
        <f>1.18895-0.4572/2</f>
        <v>0.96034999999999993</v>
      </c>
      <c r="H13">
        <v>0.67310000000000003</v>
      </c>
    </row>
    <row r="14" spans="1:8" x14ac:dyDescent="0.3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3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4EC0-51E4-42A2-9325-050E6479DA1F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1" sqref="H11"/>
    </sheetView>
  </sheetViews>
  <sheetFormatPr defaultRowHeight="14.5" x14ac:dyDescent="0.35"/>
  <cols>
    <col min="1" max="1" width="14.453125" style="18" customWidth="1"/>
    <col min="2" max="2" width="12.6328125" customWidth="1"/>
    <col min="3" max="3" width="15.6328125" customWidth="1"/>
    <col min="4" max="4" width="11.08984375" customWidth="1"/>
    <col min="5" max="5" width="16.6328125" customWidth="1"/>
    <col min="6" max="8" width="10" customWidth="1"/>
    <col min="9" max="15" width="6.63281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8"/>
      <c r="C3" s="8"/>
      <c r="F3" s="9"/>
      <c r="G3" s="9"/>
      <c r="H3" s="10" t="s">
        <v>29</v>
      </c>
    </row>
    <row r="4" spans="1:8" x14ac:dyDescent="0.3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3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3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3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3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3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3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35">
      <c r="A11" s="4"/>
      <c r="B11" s="4"/>
      <c r="C11" s="8" t="s">
        <v>14</v>
      </c>
      <c r="D11" t="s">
        <v>15</v>
      </c>
      <c r="F11" s="9"/>
      <c r="G11" s="9"/>
      <c r="H11" s="9">
        <f>66000</f>
        <v>66000</v>
      </c>
    </row>
    <row r="12" spans="1:8" x14ac:dyDescent="0.3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35">
      <c r="A13" s="4"/>
      <c r="B13" s="8" t="s">
        <v>21</v>
      </c>
      <c r="C13" s="8"/>
      <c r="D13" t="s">
        <v>13</v>
      </c>
      <c r="F13" s="9">
        <v>0</v>
      </c>
      <c r="G13" s="9">
        <f>1.18895-0.4572/2</f>
        <v>0.96034999999999993</v>
      </c>
      <c r="H13">
        <v>0.67310000000000003</v>
      </c>
    </row>
    <row r="14" spans="1:8" x14ac:dyDescent="0.3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3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5C69-1488-4D58-8AE5-09760CCF8BA6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2" sqref="H12"/>
    </sheetView>
  </sheetViews>
  <sheetFormatPr defaultRowHeight="14.5" x14ac:dyDescent="0.35"/>
  <cols>
    <col min="1" max="1" width="14.453125" style="18" customWidth="1"/>
    <col min="2" max="2" width="12.6328125" customWidth="1"/>
    <col min="3" max="3" width="15.6328125" customWidth="1"/>
    <col min="4" max="4" width="11.08984375" customWidth="1"/>
    <col min="5" max="5" width="16.6328125" customWidth="1"/>
    <col min="6" max="8" width="10" customWidth="1"/>
    <col min="9" max="15" width="6.63281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8"/>
      <c r="C3" s="8"/>
      <c r="F3" s="9"/>
      <c r="G3" s="9"/>
      <c r="H3" s="10" t="s">
        <v>30</v>
      </c>
    </row>
    <row r="4" spans="1:8" x14ac:dyDescent="0.3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3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3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3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3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3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3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35">
      <c r="A11" s="4"/>
      <c r="B11" s="4"/>
      <c r="C11" s="8" t="s">
        <v>14</v>
      </c>
      <c r="D11" t="s">
        <v>15</v>
      </c>
      <c r="F11" s="9"/>
      <c r="G11" s="9"/>
      <c r="H11" s="9">
        <v>100000</v>
      </c>
    </row>
    <row r="12" spans="1:8" x14ac:dyDescent="0.3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35">
      <c r="A13" s="4"/>
      <c r="B13" s="8" t="s">
        <v>21</v>
      </c>
      <c r="C13" s="8"/>
      <c r="D13" t="s">
        <v>13</v>
      </c>
      <c r="F13" s="9">
        <v>0</v>
      </c>
      <c r="G13" s="9">
        <f>1.18895-0.4572/2</f>
        <v>0.96034999999999993</v>
      </c>
      <c r="H13">
        <v>0.67310000000000003</v>
      </c>
    </row>
    <row r="14" spans="1:8" x14ac:dyDescent="0.3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3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C561-5646-4AD8-A7A2-390ECB1DD2C8}">
  <sheetPr>
    <tabColor theme="7" tint="0.39997558519241921"/>
  </sheetPr>
  <dimension ref="A1:H15"/>
  <sheetViews>
    <sheetView tabSelected="1"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J24" sqref="J24"/>
    </sheetView>
  </sheetViews>
  <sheetFormatPr defaultRowHeight="14.5" x14ac:dyDescent="0.35"/>
  <cols>
    <col min="1" max="1" width="14.453125" style="18" customWidth="1"/>
    <col min="2" max="2" width="12.6328125" customWidth="1"/>
    <col min="3" max="3" width="15.6328125" customWidth="1"/>
    <col min="4" max="4" width="11.08984375" customWidth="1"/>
    <col min="5" max="5" width="16.6328125" customWidth="1"/>
    <col min="6" max="8" width="10" customWidth="1"/>
    <col min="9" max="15" width="6.63281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8"/>
      <c r="C3" s="8"/>
      <c r="F3" s="9"/>
      <c r="G3" s="9"/>
      <c r="H3" s="10" t="s">
        <v>31</v>
      </c>
    </row>
    <row r="4" spans="1:8" x14ac:dyDescent="0.3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3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3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3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3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3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3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35">
      <c r="A11" s="4"/>
      <c r="B11" s="4"/>
      <c r="C11" s="8" t="s">
        <v>14</v>
      </c>
      <c r="D11" t="s">
        <v>15</v>
      </c>
      <c r="F11" s="9"/>
      <c r="G11" s="9"/>
      <c r="H11" s="9">
        <v>100000</v>
      </c>
    </row>
    <row r="12" spans="1:8" x14ac:dyDescent="0.3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35">
      <c r="A13" s="4"/>
      <c r="B13" s="8" t="s">
        <v>21</v>
      </c>
      <c r="C13" s="8"/>
      <c r="D13" t="s">
        <v>13</v>
      </c>
      <c r="F13" s="9">
        <v>0</v>
      </c>
      <c r="G13" s="9">
        <f>1.18895-0.4572/2</f>
        <v>0.96034999999999993</v>
      </c>
      <c r="H13">
        <v>0.67310000000000003</v>
      </c>
    </row>
    <row r="14" spans="1:8" x14ac:dyDescent="0.3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3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Truck_Amandla_A1</vt:lpstr>
      <vt:lpstr>Truck_Amandla_A2</vt:lpstr>
      <vt:lpstr>Truck_Amandla_A3</vt:lpstr>
      <vt:lpstr>Trailer_Kumanzi_A1</vt:lpstr>
      <vt:lpstr>Trailer_Kumanzi_A2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Lorenzo Nicoletti</cp:lastModifiedBy>
  <dcterms:created xsi:type="dcterms:W3CDTF">2019-11-06T16:53:36Z</dcterms:created>
  <dcterms:modified xsi:type="dcterms:W3CDTF">2024-10-23T16:36:44Z</dcterms:modified>
</cp:coreProperties>
</file>